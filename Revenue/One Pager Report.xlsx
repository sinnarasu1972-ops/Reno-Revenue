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nault\"/>
    </mc:Choice>
  </mc:AlternateContent>
  <xr:revisionPtr revIDLastSave="0" documentId="8_{8A37E72B-6029-4189-B121-716B80934879}" xr6:coauthVersionLast="47" xr6:coauthVersionMax="47" xr10:uidLastSave="{00000000-0000-0000-0000-000000000000}"/>
  <bookViews>
    <workbookView xWindow="-108" yWindow="-108" windowWidth="23256" windowHeight="12456" xr2:uid="{B5C16646-8B70-4BDC-B22F-8BC594154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L20" i="1"/>
  <c r="K20" i="1"/>
  <c r="J20" i="1"/>
  <c r="I20" i="1"/>
  <c r="H20" i="1"/>
  <c r="G20" i="1"/>
  <c r="F20" i="1"/>
  <c r="E20" i="1"/>
  <c r="D20" i="1"/>
  <c r="C20" i="1"/>
  <c r="B20" i="1"/>
  <c r="N20" i="1" s="1"/>
  <c r="L19" i="1"/>
  <c r="K19" i="1"/>
  <c r="J19" i="1"/>
  <c r="I19" i="1"/>
  <c r="H19" i="1"/>
  <c r="G19" i="1"/>
  <c r="F19" i="1"/>
  <c r="E19" i="1"/>
  <c r="D19" i="1"/>
  <c r="N19" i="1" s="1"/>
  <c r="C19" i="1"/>
  <c r="B19" i="1"/>
  <c r="H18" i="1"/>
  <c r="N16" i="1"/>
  <c r="M16" i="1"/>
  <c r="M19" i="1" s="1"/>
  <c r="N15" i="1"/>
  <c r="M15" i="1"/>
  <c r="N14" i="1"/>
  <c r="M14" i="1"/>
  <c r="N13" i="1"/>
  <c r="M13" i="1"/>
  <c r="L12" i="1"/>
  <c r="L2" i="1" s="1"/>
  <c r="K12" i="1"/>
  <c r="K2" i="1" s="1"/>
  <c r="J12" i="1"/>
  <c r="J2" i="1" s="1"/>
  <c r="H12" i="1"/>
  <c r="H2" i="1" s="1"/>
  <c r="G12" i="1"/>
  <c r="G2" i="1" s="1"/>
  <c r="F12" i="1"/>
  <c r="F2" i="1" s="1"/>
  <c r="E12" i="1"/>
  <c r="E2" i="1" s="1"/>
  <c r="D12" i="1"/>
  <c r="D2" i="1" s="1"/>
  <c r="C12" i="1"/>
  <c r="C2" i="1" s="1"/>
  <c r="N11" i="1"/>
  <c r="M11" i="1"/>
  <c r="L10" i="1"/>
  <c r="L17" i="1" s="1"/>
  <c r="K10" i="1"/>
  <c r="K17" i="1" s="1"/>
  <c r="J10" i="1"/>
  <c r="J17" i="1" s="1"/>
  <c r="I10" i="1"/>
  <c r="I12" i="1" s="1"/>
  <c r="I2" i="1" s="1"/>
  <c r="H10" i="1"/>
  <c r="H17" i="1" s="1"/>
  <c r="G10" i="1"/>
  <c r="G18" i="1" s="1"/>
  <c r="F10" i="1"/>
  <c r="F18" i="1" s="1"/>
  <c r="E10" i="1"/>
  <c r="E18" i="1" s="1"/>
  <c r="D10" i="1"/>
  <c r="D17" i="1" s="1"/>
  <c r="C10" i="1"/>
  <c r="C17" i="1" s="1"/>
  <c r="B10" i="1"/>
  <c r="B17" i="1" s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I17" i="1" l="1"/>
  <c r="L18" i="1"/>
  <c r="E17" i="1"/>
  <c r="N17" i="1" s="1"/>
  <c r="F17" i="1"/>
  <c r="I18" i="1"/>
  <c r="G17" i="1"/>
  <c r="J18" i="1"/>
  <c r="K18" i="1"/>
  <c r="M10" i="1"/>
  <c r="M18" i="1" s="1"/>
  <c r="N10" i="1"/>
  <c r="B12" i="1"/>
  <c r="B18" i="1"/>
  <c r="N18" i="1" s="1"/>
  <c r="D18" i="1"/>
  <c r="C18" i="1"/>
  <c r="B2" i="1" l="1"/>
  <c r="M12" i="1"/>
  <c r="N12" i="1"/>
  <c r="M17" i="1"/>
  <c r="N2" i="1" l="1"/>
  <c r="M2" i="1"/>
</calcChain>
</file>

<file path=xl/sharedStrings.xml><?xml version="1.0" encoding="utf-8"?>
<sst xmlns="http://schemas.openxmlformats.org/spreadsheetml/2006/main" count="33" uniqueCount="33">
  <si>
    <t>Description</t>
  </si>
  <si>
    <t>NAJB</t>
  </si>
  <si>
    <t>NAJE</t>
  </si>
  <si>
    <t>AKJA</t>
  </si>
  <si>
    <t>AVJA</t>
  </si>
  <si>
    <t>CNJA</t>
  </si>
  <si>
    <t>NSKB</t>
  </si>
  <si>
    <t>AUJA</t>
  </si>
  <si>
    <t>JGJB</t>
  </si>
  <si>
    <t>PUME</t>
  </si>
  <si>
    <t>PUMB</t>
  </si>
  <si>
    <t>BAKA</t>
  </si>
  <si>
    <t>TOTAL</t>
  </si>
  <si>
    <t xml:space="preserve">AVERAGE </t>
  </si>
  <si>
    <t xml:space="preserve">Total No of RO Billed with PDI and Accessories </t>
  </si>
  <si>
    <t>PDI RO</t>
  </si>
  <si>
    <t xml:space="preserve">Accessories </t>
  </si>
  <si>
    <t xml:space="preserve"> 1 Free Service</t>
  </si>
  <si>
    <t xml:space="preserve"> 2 Free Service</t>
  </si>
  <si>
    <t xml:space="preserve"> 3 Free Service</t>
  </si>
  <si>
    <t>Paid Services RO</t>
  </si>
  <si>
    <t xml:space="preserve">Running Repair </t>
  </si>
  <si>
    <t>Mechanical RO</t>
  </si>
  <si>
    <t>Body &amp; Paint RO</t>
  </si>
  <si>
    <t xml:space="preserve">Total RO (Mech + BP) </t>
  </si>
  <si>
    <t>Labour Revenue  - Service</t>
  </si>
  <si>
    <t>Labour Revenue -  Bodyshop</t>
  </si>
  <si>
    <t>Parts Retail - Mechanical</t>
  </si>
  <si>
    <t>Parts retail – Body shop</t>
  </si>
  <si>
    <t xml:space="preserve">Mechanical Parts / RO </t>
  </si>
  <si>
    <t xml:space="preserve">Mechanical Labour / RO </t>
  </si>
  <si>
    <t>Body Repair Parts / RO</t>
  </si>
  <si>
    <t>Body Repair Labor /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</si>
</sst>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8A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 readingOrder="1"/>
    </xf>
    <xf numFmtId="164" fontId="7" fillId="0" borderId="1" xfId="1" applyNumberFormat="1" applyFont="1" applyFill="1" applyBorder="1" applyAlignment="1">
      <alignment vertical="center" wrapText="1"/>
    </xf>
    <xf numFmtId="164" fontId="3" fillId="0" borderId="1" xfId="1" applyNumberFormat="1" applyFont="1" applyFill="1" applyBorder="1" applyAlignment="1">
      <alignment vertical="center" wrapText="1"/>
    </xf>
    <xf numFmtId="164" fontId="0" fillId="0" borderId="1" xfId="1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 wrapText="1" readingOrder="1"/>
    </xf>
    <xf numFmtId="164" fontId="4" fillId="0" borderId="1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16" fontId="2" fillId="2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6421-2031-471E-85B0-48260C0C7942}">
  <dimension ref="A1:N20"/>
  <sheetViews>
    <sheetView tabSelected="1" workbookViewId="0">
      <selection activeCell="G9" sqref="G9"/>
    </sheetView>
  </sheetViews>
  <sheetFormatPr defaultColWidth="92.5546875" defaultRowHeight="14.4" x14ac:dyDescent="0.3"/>
  <cols>
    <col min="1" max="1" width="36.21875" bestFit="1" customWidth="1"/>
    <col min="2" max="3" width="9.77734375" bestFit="1" customWidth="1"/>
    <col min="4" max="6" width="8.77734375" bestFit="1" customWidth="1"/>
    <col min="7" max="8" width="9.77734375" bestFit="1" customWidth="1"/>
    <col min="9" max="9" width="8.77734375" bestFit="1" customWidth="1"/>
    <col min="10" max="11" width="9.77734375" bestFit="1" customWidth="1"/>
    <col min="12" max="12" width="8.77734375" bestFit="1" customWidth="1"/>
    <col min="13" max="13" width="11" bestFit="1" customWidth="1"/>
    <col min="14" max="14" width="9.77734375" bestFit="1" customWidth="1"/>
  </cols>
  <sheetData>
    <row r="1" spans="1:14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1" t="s">
        <v>12</v>
      </c>
      <c r="N1" s="21" t="s">
        <v>13</v>
      </c>
    </row>
    <row r="2" spans="1:14" x14ac:dyDescent="0.3">
      <c r="A2" s="22" t="s">
        <v>14</v>
      </c>
      <c r="B2" s="7">
        <f>B12+B3+B4</f>
        <v>475</v>
      </c>
      <c r="C2" s="7">
        <f t="shared" ref="C2:L2" si="0">C12+C3+C4</f>
        <v>385</v>
      </c>
      <c r="D2" s="7">
        <f t="shared" si="0"/>
        <v>180</v>
      </c>
      <c r="E2" s="7">
        <f t="shared" si="0"/>
        <v>177</v>
      </c>
      <c r="F2" s="7">
        <f t="shared" si="0"/>
        <v>234</v>
      </c>
      <c r="G2" s="7">
        <f t="shared" si="0"/>
        <v>480</v>
      </c>
      <c r="H2" s="7">
        <f t="shared" si="0"/>
        <v>464</v>
      </c>
      <c r="I2" s="7">
        <f t="shared" si="0"/>
        <v>234</v>
      </c>
      <c r="J2" s="7">
        <f t="shared" si="0"/>
        <v>545</v>
      </c>
      <c r="K2" s="7">
        <f t="shared" si="0"/>
        <v>493</v>
      </c>
      <c r="L2" s="7">
        <f t="shared" si="0"/>
        <v>202</v>
      </c>
      <c r="M2" s="7">
        <f>SUM(B2:L2)</f>
        <v>3869</v>
      </c>
      <c r="N2" s="7">
        <f t="shared" ref="N2:N20" si="1">AVERAGE(B2:L2)</f>
        <v>351.72727272727275</v>
      </c>
    </row>
    <row r="3" spans="1:14" x14ac:dyDescent="0.3">
      <c r="A3" s="22" t="s">
        <v>15</v>
      </c>
      <c r="B3" s="1">
        <v>26</v>
      </c>
      <c r="C3" s="1">
        <v>13</v>
      </c>
      <c r="D3" s="1">
        <v>11</v>
      </c>
      <c r="E3" s="1">
        <v>12</v>
      </c>
      <c r="F3" s="1">
        <v>8</v>
      </c>
      <c r="G3" s="2">
        <v>15</v>
      </c>
      <c r="H3" s="3">
        <v>21</v>
      </c>
      <c r="I3" s="4">
        <v>5</v>
      </c>
      <c r="J3" s="5">
        <v>25</v>
      </c>
      <c r="K3" s="5">
        <v>12</v>
      </c>
      <c r="L3" s="6">
        <v>4</v>
      </c>
      <c r="M3" s="7">
        <f t="shared" ref="M3:M11" si="2">SUM(B3:L3)</f>
        <v>152</v>
      </c>
      <c r="N3" s="7">
        <f t="shared" si="1"/>
        <v>13.818181818181818</v>
      </c>
    </row>
    <row r="4" spans="1:14" x14ac:dyDescent="0.3">
      <c r="A4" s="22" t="s">
        <v>16</v>
      </c>
      <c r="B4" s="1">
        <v>6</v>
      </c>
      <c r="C4" s="1">
        <v>6</v>
      </c>
      <c r="D4" s="1">
        <v>7</v>
      </c>
      <c r="E4" s="1">
        <v>6</v>
      </c>
      <c r="F4" s="1">
        <v>5</v>
      </c>
      <c r="G4" s="2">
        <v>1</v>
      </c>
      <c r="H4" s="3">
        <v>8</v>
      </c>
      <c r="I4" s="4">
        <v>7</v>
      </c>
      <c r="J4" s="5">
        <v>15</v>
      </c>
      <c r="K4" s="5">
        <v>8</v>
      </c>
      <c r="L4" s="6">
        <v>1</v>
      </c>
      <c r="M4" s="7">
        <f>SUM(B4:L4)</f>
        <v>70</v>
      </c>
      <c r="N4" s="7">
        <f t="shared" si="1"/>
        <v>6.3636363636363633</v>
      </c>
    </row>
    <row r="5" spans="1:14" x14ac:dyDescent="0.3">
      <c r="A5" s="22" t="s">
        <v>17</v>
      </c>
      <c r="B5" s="1">
        <v>36</v>
      </c>
      <c r="C5" s="1">
        <v>25</v>
      </c>
      <c r="D5" s="1">
        <v>3</v>
      </c>
      <c r="E5" s="1">
        <v>5</v>
      </c>
      <c r="F5" s="1">
        <v>13</v>
      </c>
      <c r="G5" s="2">
        <v>24</v>
      </c>
      <c r="H5" s="3">
        <v>21</v>
      </c>
      <c r="I5" s="4">
        <v>9</v>
      </c>
      <c r="J5" s="5">
        <v>16</v>
      </c>
      <c r="K5" s="5">
        <v>9</v>
      </c>
      <c r="L5" s="6">
        <v>17</v>
      </c>
      <c r="M5" s="7">
        <f t="shared" si="2"/>
        <v>178</v>
      </c>
      <c r="N5" s="7">
        <f t="shared" si="1"/>
        <v>16.181818181818183</v>
      </c>
    </row>
    <row r="6" spans="1:14" x14ac:dyDescent="0.3">
      <c r="A6" s="22" t="s">
        <v>18</v>
      </c>
      <c r="B6" s="1">
        <v>19</v>
      </c>
      <c r="C6" s="1">
        <v>17</v>
      </c>
      <c r="D6" s="1">
        <v>12</v>
      </c>
      <c r="E6" s="1">
        <v>7</v>
      </c>
      <c r="F6" s="1">
        <v>11</v>
      </c>
      <c r="G6" s="2">
        <v>24</v>
      </c>
      <c r="H6" s="3">
        <v>19</v>
      </c>
      <c r="I6" s="4">
        <v>13</v>
      </c>
      <c r="J6" s="5">
        <v>23</v>
      </c>
      <c r="K6" s="5">
        <v>21</v>
      </c>
      <c r="L6" s="6">
        <v>4</v>
      </c>
      <c r="M6" s="7">
        <f t="shared" si="2"/>
        <v>170</v>
      </c>
      <c r="N6" s="7">
        <f t="shared" si="1"/>
        <v>15.454545454545455</v>
      </c>
    </row>
    <row r="7" spans="1:14" x14ac:dyDescent="0.3">
      <c r="A7" s="22" t="s">
        <v>19</v>
      </c>
      <c r="B7" s="1">
        <v>18</v>
      </c>
      <c r="C7" s="1">
        <v>15</v>
      </c>
      <c r="D7" s="1">
        <v>10</v>
      </c>
      <c r="E7" s="1">
        <v>6</v>
      </c>
      <c r="F7" s="1">
        <v>8</v>
      </c>
      <c r="G7" s="2">
        <v>20</v>
      </c>
      <c r="H7" s="1">
        <v>19</v>
      </c>
      <c r="I7" s="4">
        <v>11</v>
      </c>
      <c r="J7" s="5">
        <v>24</v>
      </c>
      <c r="K7" s="5">
        <v>31</v>
      </c>
      <c r="L7" s="6">
        <v>5</v>
      </c>
      <c r="M7" s="7">
        <f t="shared" si="2"/>
        <v>167</v>
      </c>
      <c r="N7" s="7">
        <f t="shared" si="1"/>
        <v>15.181818181818182</v>
      </c>
    </row>
    <row r="8" spans="1:14" x14ac:dyDescent="0.3">
      <c r="A8" s="22" t="s">
        <v>20</v>
      </c>
      <c r="B8" s="8">
        <v>154</v>
      </c>
      <c r="C8" s="8">
        <v>154</v>
      </c>
      <c r="D8" s="8">
        <v>57</v>
      </c>
      <c r="E8" s="8">
        <v>66</v>
      </c>
      <c r="F8" s="8">
        <v>77</v>
      </c>
      <c r="G8" s="8">
        <v>168</v>
      </c>
      <c r="H8" s="8">
        <v>168</v>
      </c>
      <c r="I8" s="8">
        <v>67</v>
      </c>
      <c r="J8" s="8">
        <v>178</v>
      </c>
      <c r="K8" s="8">
        <v>187</v>
      </c>
      <c r="L8" s="8">
        <v>53</v>
      </c>
      <c r="M8" s="7">
        <f t="shared" si="2"/>
        <v>1329</v>
      </c>
      <c r="N8" s="7">
        <f t="shared" si="1"/>
        <v>120.81818181818181</v>
      </c>
    </row>
    <row r="9" spans="1:14" x14ac:dyDescent="0.3">
      <c r="A9" s="22" t="s">
        <v>21</v>
      </c>
      <c r="B9" s="1">
        <v>143</v>
      </c>
      <c r="C9" s="1">
        <v>110</v>
      </c>
      <c r="D9" s="1">
        <v>66</v>
      </c>
      <c r="E9" s="1">
        <v>58</v>
      </c>
      <c r="F9" s="1">
        <v>87</v>
      </c>
      <c r="G9" s="2">
        <v>175</v>
      </c>
      <c r="H9" s="3">
        <v>163</v>
      </c>
      <c r="I9" s="4">
        <v>96</v>
      </c>
      <c r="J9" s="9">
        <v>195</v>
      </c>
      <c r="K9" s="9">
        <v>176</v>
      </c>
      <c r="L9" s="10">
        <v>88</v>
      </c>
      <c r="M9" s="7">
        <f>SUM(B9:L9)</f>
        <v>1357</v>
      </c>
      <c r="N9" s="7">
        <f t="shared" si="1"/>
        <v>123.36363636363636</v>
      </c>
    </row>
    <row r="10" spans="1:14" x14ac:dyDescent="0.3">
      <c r="A10" s="22" t="s">
        <v>22</v>
      </c>
      <c r="B10" s="11">
        <f>B5+B6+B7+B8+B9</f>
        <v>370</v>
      </c>
      <c r="C10" s="11">
        <f t="shared" ref="C10:L10" si="3">C5+C6+C7+C8+C9</f>
        <v>321</v>
      </c>
      <c r="D10" s="11">
        <f t="shared" si="3"/>
        <v>148</v>
      </c>
      <c r="E10" s="11">
        <f t="shared" si="3"/>
        <v>142</v>
      </c>
      <c r="F10" s="11">
        <f t="shared" si="3"/>
        <v>196</v>
      </c>
      <c r="G10" s="11">
        <f t="shared" si="3"/>
        <v>411</v>
      </c>
      <c r="H10" s="11">
        <f t="shared" si="3"/>
        <v>390</v>
      </c>
      <c r="I10" s="11">
        <f t="shared" si="3"/>
        <v>196</v>
      </c>
      <c r="J10" s="11">
        <f t="shared" si="3"/>
        <v>436</v>
      </c>
      <c r="K10" s="11">
        <f t="shared" si="3"/>
        <v>424</v>
      </c>
      <c r="L10" s="11">
        <f t="shared" si="3"/>
        <v>167</v>
      </c>
      <c r="M10" s="7">
        <f t="shared" si="2"/>
        <v>3201</v>
      </c>
      <c r="N10" s="7">
        <f t="shared" si="1"/>
        <v>291</v>
      </c>
    </row>
    <row r="11" spans="1:14" x14ac:dyDescent="0.3">
      <c r="A11" s="22" t="s">
        <v>23</v>
      </c>
      <c r="B11" s="1">
        <v>73</v>
      </c>
      <c r="C11" s="1">
        <v>45</v>
      </c>
      <c r="D11" s="1">
        <v>14</v>
      </c>
      <c r="E11" s="1">
        <v>17</v>
      </c>
      <c r="F11" s="1">
        <v>25</v>
      </c>
      <c r="G11" s="2">
        <v>53</v>
      </c>
      <c r="H11" s="3">
        <v>45</v>
      </c>
      <c r="I11" s="4">
        <v>26</v>
      </c>
      <c r="J11" s="9">
        <v>69</v>
      </c>
      <c r="K11" s="9">
        <v>49</v>
      </c>
      <c r="L11" s="10">
        <v>30</v>
      </c>
      <c r="M11" s="7">
        <f t="shared" si="2"/>
        <v>446</v>
      </c>
      <c r="N11" s="7">
        <f t="shared" si="1"/>
        <v>40.545454545454547</v>
      </c>
    </row>
    <row r="12" spans="1:14" x14ac:dyDescent="0.3">
      <c r="A12" s="23" t="s">
        <v>24</v>
      </c>
      <c r="B12" s="12">
        <f>B10+B11</f>
        <v>443</v>
      </c>
      <c r="C12" s="12">
        <f t="shared" ref="C12:L12" si="4">C10+C11</f>
        <v>366</v>
      </c>
      <c r="D12" s="12">
        <f t="shared" si="4"/>
        <v>162</v>
      </c>
      <c r="E12" s="12">
        <f t="shared" si="4"/>
        <v>159</v>
      </c>
      <c r="F12" s="12">
        <f t="shared" si="4"/>
        <v>221</v>
      </c>
      <c r="G12" s="12">
        <f t="shared" si="4"/>
        <v>464</v>
      </c>
      <c r="H12" s="12">
        <f t="shared" si="4"/>
        <v>435</v>
      </c>
      <c r="I12" s="12">
        <f t="shared" si="4"/>
        <v>222</v>
      </c>
      <c r="J12" s="12">
        <f t="shared" si="4"/>
        <v>505</v>
      </c>
      <c r="K12" s="12">
        <f t="shared" si="4"/>
        <v>473</v>
      </c>
      <c r="L12" s="12">
        <f t="shared" si="4"/>
        <v>197</v>
      </c>
      <c r="M12" s="13">
        <f>SUM(B12:L12)</f>
        <v>3647</v>
      </c>
      <c r="N12" s="13">
        <f t="shared" si="1"/>
        <v>331.54545454545456</v>
      </c>
    </row>
    <row r="13" spans="1:14" x14ac:dyDescent="0.3">
      <c r="A13" s="24" t="s">
        <v>25</v>
      </c>
      <c r="B13" s="14">
        <v>580382.79</v>
      </c>
      <c r="C13" s="15">
        <v>536324.54999999993</v>
      </c>
      <c r="D13" s="14">
        <v>198783.23000000007</v>
      </c>
      <c r="E13" s="15">
        <v>229817.67000000004</v>
      </c>
      <c r="F13" s="14">
        <v>281098.29000000033</v>
      </c>
      <c r="G13" s="16">
        <v>652842.16000000027</v>
      </c>
      <c r="H13" s="16">
        <v>523838.76</v>
      </c>
      <c r="I13" s="16">
        <v>248338.59999999998</v>
      </c>
      <c r="J13" s="16">
        <v>842584.05999999994</v>
      </c>
      <c r="K13" s="16">
        <v>828022.72</v>
      </c>
      <c r="L13" s="16">
        <v>185525.17000000013</v>
      </c>
      <c r="M13" s="17">
        <f>SUM(B13:L13)</f>
        <v>5107558</v>
      </c>
      <c r="N13" s="17">
        <f t="shared" si="1"/>
        <v>464323.45454545453</v>
      </c>
    </row>
    <row r="14" spans="1:14" x14ac:dyDescent="0.3">
      <c r="A14" s="24" t="s">
        <v>26</v>
      </c>
      <c r="B14" s="18">
        <v>932364.7</v>
      </c>
      <c r="C14" s="14">
        <v>415744</v>
      </c>
      <c r="D14" s="14">
        <v>161827.6</v>
      </c>
      <c r="E14" s="14">
        <v>171816.38</v>
      </c>
      <c r="F14" s="14">
        <v>154118.15999999997</v>
      </c>
      <c r="G14" s="16">
        <v>507354.99999999988</v>
      </c>
      <c r="H14" s="16">
        <v>431043</v>
      </c>
      <c r="I14" s="16">
        <v>281638.40000000002</v>
      </c>
      <c r="J14" s="16">
        <v>942355.70000000007</v>
      </c>
      <c r="K14" s="16">
        <v>520318.68999999994</v>
      </c>
      <c r="L14" s="16">
        <v>161487.54</v>
      </c>
      <c r="M14" s="17">
        <f t="shared" ref="M14:M16" si="5">SUM(B14:L14)</f>
        <v>4680069.17</v>
      </c>
      <c r="N14" s="17">
        <f t="shared" si="1"/>
        <v>425460.83363636362</v>
      </c>
    </row>
    <row r="15" spans="1:14" x14ac:dyDescent="0.3">
      <c r="A15" s="24" t="s">
        <v>27</v>
      </c>
      <c r="B15" s="14">
        <v>2069381.0504556007</v>
      </c>
      <c r="C15" s="14">
        <v>1581562.4978700019</v>
      </c>
      <c r="D15" s="14">
        <v>610317.80185999954</v>
      </c>
      <c r="E15" s="14">
        <v>772798.69169000024</v>
      </c>
      <c r="F15" s="14">
        <v>692566.22694999981</v>
      </c>
      <c r="G15" s="14">
        <v>3000062.5188143039</v>
      </c>
      <c r="H15" s="14">
        <v>2077117.6575248009</v>
      </c>
      <c r="I15" s="14">
        <v>864455.84289999935</v>
      </c>
      <c r="J15" s="14">
        <v>1783485.7762650005</v>
      </c>
      <c r="K15" s="14">
        <v>2204187.1613757005</v>
      </c>
      <c r="L15" s="14">
        <v>739889.32169859996</v>
      </c>
      <c r="M15" s="17">
        <f t="shared" si="5"/>
        <v>16395824.547404008</v>
      </c>
      <c r="N15" s="14">
        <f t="shared" si="1"/>
        <v>1490529.5043094552</v>
      </c>
    </row>
    <row r="16" spans="1:14" x14ac:dyDescent="0.3">
      <c r="A16" s="24" t="s">
        <v>28</v>
      </c>
      <c r="B16" s="14">
        <v>1199292.68</v>
      </c>
      <c r="C16" s="14">
        <v>627526.32000000018</v>
      </c>
      <c r="D16" s="14">
        <v>254432.10000000012</v>
      </c>
      <c r="E16" s="14">
        <v>254274.03999999986</v>
      </c>
      <c r="F16" s="14">
        <v>428944.38999999966</v>
      </c>
      <c r="G16" s="14">
        <v>586819.13</v>
      </c>
      <c r="H16" s="14">
        <v>852686</v>
      </c>
      <c r="I16" s="14">
        <v>375746.5</v>
      </c>
      <c r="J16" s="14">
        <v>1229824.5999999992</v>
      </c>
      <c r="K16" s="14">
        <v>771255.65999999968</v>
      </c>
      <c r="L16" s="14">
        <v>310163.64999999985</v>
      </c>
      <c r="M16" s="17">
        <f t="shared" si="5"/>
        <v>6890965.0699999994</v>
      </c>
      <c r="N16" s="14">
        <f t="shared" si="1"/>
        <v>626451.37</v>
      </c>
    </row>
    <row r="17" spans="1:14" x14ac:dyDescent="0.3">
      <c r="A17" s="24" t="s">
        <v>29</v>
      </c>
      <c r="B17" s="17">
        <f>B15/B10</f>
        <v>5592.9217579881097</v>
      </c>
      <c r="C17" s="17">
        <f t="shared" ref="C17:L17" si="6">C15/C10</f>
        <v>4926.9859746729035</v>
      </c>
      <c r="D17" s="17">
        <f t="shared" si="6"/>
        <v>4123.7689314864838</v>
      </c>
      <c r="E17" s="17">
        <f t="shared" si="6"/>
        <v>5442.2443076760583</v>
      </c>
      <c r="F17" s="17">
        <f t="shared" si="6"/>
        <v>3533.5011579081624</v>
      </c>
      <c r="G17" s="17">
        <f t="shared" si="6"/>
        <v>7299.4221868961167</v>
      </c>
      <c r="H17" s="17">
        <f t="shared" si="6"/>
        <v>5325.9427116020534</v>
      </c>
      <c r="I17" s="17">
        <f t="shared" si="6"/>
        <v>4410.4889943877515</v>
      </c>
      <c r="J17" s="17">
        <f t="shared" si="6"/>
        <v>4090.5637070298176</v>
      </c>
      <c r="K17" s="17">
        <f t="shared" si="6"/>
        <v>5198.5546258860859</v>
      </c>
      <c r="L17" s="17">
        <f t="shared" si="6"/>
        <v>4430.4749802311371</v>
      </c>
      <c r="M17" s="17">
        <f>M15/M10</f>
        <v>5122.0945165273379</v>
      </c>
      <c r="N17" s="14">
        <f t="shared" si="1"/>
        <v>4943.1699396149706</v>
      </c>
    </row>
    <row r="18" spans="1:14" x14ac:dyDescent="0.3">
      <c r="A18" s="24" t="s">
        <v>30</v>
      </c>
      <c r="B18" s="17">
        <f>B13/B10</f>
        <v>1568.6021351351353</v>
      </c>
      <c r="C18" s="17">
        <f>C13/C10</f>
        <v>1670.7929906542054</v>
      </c>
      <c r="D18" s="17">
        <f t="shared" ref="D18:M18" si="7">D13/D10</f>
        <v>1343.129932432433</v>
      </c>
      <c r="E18" s="17">
        <f t="shared" si="7"/>
        <v>1618.4342957746483</v>
      </c>
      <c r="F18" s="17">
        <f t="shared" si="7"/>
        <v>1434.1749489795934</v>
      </c>
      <c r="G18" s="17">
        <f t="shared" si="7"/>
        <v>1588.423746958638</v>
      </c>
      <c r="H18" s="17">
        <f t="shared" si="7"/>
        <v>1343.1763076923078</v>
      </c>
      <c r="I18" s="17">
        <f t="shared" si="7"/>
        <v>1267.0336734693876</v>
      </c>
      <c r="J18" s="17">
        <f t="shared" si="7"/>
        <v>1932.5322477064219</v>
      </c>
      <c r="K18" s="17">
        <f t="shared" si="7"/>
        <v>1952.8837735849056</v>
      </c>
      <c r="L18" s="17">
        <f t="shared" si="7"/>
        <v>1110.9291616766475</v>
      </c>
      <c r="M18" s="17">
        <f t="shared" si="7"/>
        <v>1595.6132458606685</v>
      </c>
      <c r="N18" s="14">
        <f t="shared" si="1"/>
        <v>1530.0102921876658</v>
      </c>
    </row>
    <row r="19" spans="1:14" x14ac:dyDescent="0.3">
      <c r="A19" s="24" t="s">
        <v>31</v>
      </c>
      <c r="B19" s="17">
        <f>B16/B11</f>
        <v>16428.666849315068</v>
      </c>
      <c r="C19" s="17">
        <f t="shared" ref="C19:M19" si="8">C16/C11</f>
        <v>13945.029333333337</v>
      </c>
      <c r="D19" s="17">
        <f t="shared" si="8"/>
        <v>18173.721428571436</v>
      </c>
      <c r="E19" s="17">
        <f t="shared" si="8"/>
        <v>14957.296470588228</v>
      </c>
      <c r="F19" s="17">
        <f t="shared" si="8"/>
        <v>17157.775599999986</v>
      </c>
      <c r="G19" s="17">
        <f t="shared" si="8"/>
        <v>11072.059056603774</v>
      </c>
      <c r="H19" s="17">
        <f t="shared" si="8"/>
        <v>18948.577777777777</v>
      </c>
      <c r="I19" s="17">
        <f t="shared" si="8"/>
        <v>14451.788461538461</v>
      </c>
      <c r="J19" s="17">
        <f t="shared" si="8"/>
        <v>17823.544927536219</v>
      </c>
      <c r="K19" s="17">
        <f t="shared" si="8"/>
        <v>15739.911428571422</v>
      </c>
      <c r="L19" s="17">
        <f t="shared" si="8"/>
        <v>10338.788333333328</v>
      </c>
      <c r="M19" s="17">
        <f t="shared" si="8"/>
        <v>15450.594327354258</v>
      </c>
      <c r="N19" s="14">
        <f t="shared" si="1"/>
        <v>15367.014515197185</v>
      </c>
    </row>
    <row r="20" spans="1:14" x14ac:dyDescent="0.3">
      <c r="A20" s="24" t="s">
        <v>32</v>
      </c>
      <c r="B20" s="17">
        <f>B14/B11</f>
        <v>12772.119178082192</v>
      </c>
      <c r="C20" s="17">
        <f t="shared" ref="C20:M20" si="9">C14/C11</f>
        <v>9238.7555555555555</v>
      </c>
      <c r="D20" s="17">
        <f t="shared" si="9"/>
        <v>11559.114285714286</v>
      </c>
      <c r="E20" s="17">
        <f t="shared" si="9"/>
        <v>10106.845882352942</v>
      </c>
      <c r="F20" s="17">
        <f t="shared" si="9"/>
        <v>6164.7263999999986</v>
      </c>
      <c r="G20" s="17">
        <f t="shared" si="9"/>
        <v>9572.7358490566021</v>
      </c>
      <c r="H20" s="17">
        <f t="shared" si="9"/>
        <v>9578.7333333333336</v>
      </c>
      <c r="I20" s="17">
        <f t="shared" si="9"/>
        <v>10832.246153846154</v>
      </c>
      <c r="J20" s="17">
        <f t="shared" si="9"/>
        <v>13657.328985507247</v>
      </c>
      <c r="K20" s="17">
        <f t="shared" si="9"/>
        <v>10618.748775510203</v>
      </c>
      <c r="L20" s="17">
        <f t="shared" si="9"/>
        <v>5382.9180000000006</v>
      </c>
      <c r="M20" s="17">
        <f t="shared" si="9"/>
        <v>10493.428632286996</v>
      </c>
      <c r="N20" s="14">
        <f t="shared" si="1"/>
        <v>9953.1156726325935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2026-03-17T01:11:30Z</dcterms:created>
  <dcterms:modified xsi:type="dcterms:W3CDTF">2026-03-17T01:14:38Z</dcterms:modified>
</cp:coreProperties>
</file>